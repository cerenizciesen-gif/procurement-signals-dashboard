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991708fbc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8b8d6979930b4299"/>
    <x:sheet xmlns:r="http://schemas.openxmlformats.org/officeDocument/2006/relationships" name="Aufgaben" sheetId="2" r:id="R0c0bf6c080344462"/>
    <x:sheet xmlns:r="http://schemas.openxmlformats.org/officeDocument/2006/relationships" name="UX-Test" sheetId="3" r:id="R0bbe7e2437d74177"/>
    <x:sheet xmlns:r="http://schemas.openxmlformats.org/officeDocument/2006/relationships" name="Auswertung" sheetId="4" r:id="R83c98161d599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0"/>
    <x:numFmt numFmtId="203" formatCode="0"/>
    <x:numFmt numFmtId="204" formatCode="0.0 &quot;s&quot;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f29dc12614717" /><Relationship Type="http://schemas.openxmlformats.org/officeDocument/2006/relationships/theme" Target="/xl/theme/theme1.xml" Id="R4f9a41de18b648e1" /><Relationship Type="http://schemas.openxmlformats.org/officeDocument/2006/relationships/sharedStrings" Target="/xl/sharedStrings.xml" Id="R9b686626cca44f12" /><Relationship Type="http://schemas.openxmlformats.org/officeDocument/2006/relationships/worksheet" Target="/xl/worksheets/sheet1.xml" Id="R8b8d6979930b4299" /><Relationship Type="http://schemas.openxmlformats.org/officeDocument/2006/relationships/worksheet" Target="/xl/worksheets/sheet2.xml" Id="R0c0bf6c080344462" /><Relationship Type="http://schemas.openxmlformats.org/officeDocument/2006/relationships/worksheet" Target="/xl/worksheets/sheet3.xml" Id="R0bbe7e2437d74177" /><Relationship Type="http://schemas.openxmlformats.org/officeDocument/2006/relationships/worksheet" Target="/xl/worksheets/sheet4.xml" Id="R83c98161d59941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94149659f948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UX-Mittelwert je Teilnehmer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UX-Mittelwert</c:v>
          </c:tx>
          <c:cat>
            <c:strRef>
              <c:f>='UX-Test'!$A$2:$A$6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='UX-Test'!$Q$2:$Q$6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94149659f948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b80159555475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30" customHeight="1">
      <x:c r="A1" s="5" t="str">
        <x:v>UX- und Usability-Test – Anleitung</x:v>
      </x:c>
      <x:c r="B1" s="5"/>
    </x:row>
    <x:row r="2" ht="30" customHeight="1"/>
    <x:row r="3" ht="30" customHeight="1">
      <x:c r="A3" s="12" t="str">
        <x:v>Ziel</x:v>
      </x:c>
      <x:c r="B3" s="16" t="str">
        <x:v>Bewertung der Benutzerfreundlichkeit, Verständlichkeit und Nützlichkeit des Procurement Signals Dashboards.</x:v>
      </x:c>
    </x:row>
    <x:row r="4" ht="30" customHeight="1">
      <x:c r="A4" s="12" t="str">
        <x:v>Teilnehmende</x:v>
      </x:c>
      <x:c r="B4" s="16" t="str">
        <x:v>Idealerweise 5 Personen. Mindestens 3 Personen, die den Prototyp nicht selbst entwickelt haben.</x:v>
      </x:c>
    </x:row>
    <x:row r="5" ht="30" customHeight="1">
      <x:c r="A5" s="12" t="str">
        <x:v>Durchführung</x:v>
      </x:c>
      <x:c r="B5" s="16" t="str">
        <x:v>Jede Person bearbeitet die drei Aufgaben im Blatt „Aufgaben“ ausschließlich mit dem Dashboard.</x:v>
      </x:c>
    </x:row>
    <x:row r="6" ht="30" customHeight="1">
      <x:c r="A6" s="12" t="str">
        <x:v>Zeitmessung</x:v>
      </x:c>
      <x:c r="B6" s="16" t="str">
        <x:v>Die Gesamtzeit wird beim Start der ersten Aufgabe gestartet und nach Abschluss der dritten Aufgabe gestoppt.</x:v>
      </x:c>
    </x:row>
    <x:row r="7" ht="30" customHeight="1">
      <x:c r="A7" s="12" t="str">
        <x:v>Aufgabenerfolg</x:v>
      </x:c>
      <x:c r="B7" s="16" t="str">
        <x:v>Für jede Aufgabe wird 1 = erfolgreich und 0 = nicht erfolgreich eingetragen.</x:v>
      </x:c>
    </x:row>
    <x:row r="8" ht="30" customHeight="1">
      <x:c r="A8" s="12" t="str">
        <x:v>Kritischer Fehler</x:v>
      </x:c>
      <x:c r="B8" s="16" t="str">
        <x:v>Ein Fehler, durch den eine Aufgabe nicht abgeschlossen werden kann oder eine falsche Einkaufsentscheidung entsteht.</x:v>
      </x:c>
    </x:row>
    <x:row r="9" ht="30" customHeight="1">
      <x:c r="A9" s="12" t="str">
        <x:v>Fragebogen</x:v>
      </x:c>
      <x:c r="B9" s="16" t="str">
        <x:v>Die acht Aussagen werden mit 1 = stimme überhaupt nicht zu bis 5 = stimme vollständig zu bewertet.</x:v>
      </x:c>
    </x:row>
    <x:row r="10" ht="30" customHeight="1">
      <x:c r="A10" s="12" t="str">
        <x:v>Nicht ausfüllen</x:v>
      </x:c>
      <x:c r="B10" s="16" t="str">
        <x:v>Die Spalten „Aufgabenquote“, „UX-Mittelwert“ und „Bestanden“ werden automatisch berechnet.</x:v>
      </x:c>
    </x:row>
    <x:row r="11" ht="30" customHeight="1">
      <x:c r="A11" s="12" t="str">
        <x:v>Zielwerte</x:v>
      </x:c>
      <x:c r="B11" s="16" t="str">
        <x:v>Aufgabenquote ≥ 90 %, UX-Mittelwert ≥ 4,0/5 und kritische Fehler = 0.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50" hidden="0" customWidth="1"/>
    <x:col min="4" max="4" width="42" hidden="0" customWidth="1"/>
  </x:cols>
  <x:sheetData>
    <x:row r="1">
      <x:c r="A1" s="21" t="str">
        <x:v>Aufgabe</x:v>
      </x:c>
      <x:c r="B1" s="21" t="str">
        <x:v>Aufgabenbeschreibung</x:v>
      </x:c>
      <x:c r="C1" s="21" t="str">
        <x:v>Erfolgskriterium</x:v>
      </x:c>
      <x:c r="D1" s="21" t="str">
        <x:v>Erwartete Antwort</x:v>
      </x:c>
    </x:row>
    <x:row r="2">
      <x:c r="A2" s="12" t="str">
        <x:v>A1</x:v>
      </x:c>
      <x:c r="B2" s="16" t="str">
        <x:v>Finden Sie für PP die Handlungsempfehlung und die Verzögerungskosten.</x:v>
      </x:c>
      <x:c r="C2" s="16" t="str">
        <x:v>Empfehlung und Kostenwert werden korrekt genannt.</x:v>
      </x:c>
      <x:c r="D2" s="16" t="str">
        <x:v>Buy now; ca. 49.600 EUR</x:v>
      </x:c>
    </x:row>
    <x:row r="3">
      <x:c r="A3" s="12" t="str">
        <x:v>A2</x:v>
      </x:c>
      <x:c r="B3" s="16" t="str">
        <x:v>Finden Sie für PA6 das Makrorisiko und erklären Sie die Handlungsempfehlung.</x:v>
      </x:c>
      <x:c r="C3" s="16" t="str">
        <x:v>Risikotreiber und Empfehlung werden korrekt genannt.</x:v>
      </x:c>
      <x:c r="D3" s="16" t="str">
        <x:v>Red Sea shipping disruption; Buy now</x:v>
      </x:c>
    </x:row>
    <x:row r="4">
      <x:c r="A4" s="12" t="str">
        <x:v>A3</x:v>
      </x:c>
      <x:c r="B4" s="16" t="str">
        <x:v>Finden Sie für Steel die Handlungsempfehlung und nennen Sie die nächste empfohlene Aktion.</x:v>
      </x:c>
      <x:c r="C4" s="16" t="str">
        <x:v>Entscheidung und konkrete nächste Aktion werden korrekt genannt.</x:v>
      </x:c>
      <x:c r="D4" s="16" t="str">
        <x:v>Delay; Entscheidung verschieben und Markt erneut prüfen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6" hidden="0" customWidth="1"/>
    <x:col min="17" max="17" width="16" hidden="0" customWidth="1"/>
    <x:col min="18" max="18" width="13" hidden="0" customWidth="1"/>
    <x:col min="19" max="19" width="42" hidden="0" customWidth="1"/>
  </x:cols>
  <x:sheetData>
    <x:row r="1">
      <x:c r="A1" s="21" t="str">
        <x:v>Teilnehmer</x:v>
      </x:c>
      <x:c r="B1" s="21" t="str">
        <x:v>Testdatum</x:v>
      </x:c>
      <x:c r="C1" s="21" t="str">
        <x:v>A1_Erfolg_0_1</x:v>
      </x:c>
      <x:c r="D1" s="21" t="str">
        <x:v>A2_Erfolg_0_1</x:v>
      </x:c>
      <x:c r="E1" s="21" t="str">
        <x:v>A3_Erfolg_0_1</x:v>
      </x:c>
      <x:c r="F1" s="21" t="str">
        <x:v>Bearbeitungszeit_s</x:v>
      </x:c>
      <x:c r="G1" s="21" t="str">
        <x:v>Kritische_Fehler</x:v>
      </x:c>
      <x:c r="H1" s="21" t="str">
        <x:v>Q1_Informationen_leicht_gefunden</x:v>
      </x:c>
      <x:c r="I1" s="21" t="str">
        <x:v>Q2_Navigation_verstaendlich</x:v>
      </x:c>
      <x:c r="J1" s="21" t="str">
        <x:v>Q3_Entscheidungen_klar</x:v>
      </x:c>
      <x:c r="K1" s="21" t="str">
        <x:v>Q4_Darstellung_uebersichtlich</x:v>
      </x:c>
      <x:c r="L1" s="21" t="str">
        <x:v>Q5_Risiken_verstaendlich</x:v>
      </x:c>
      <x:c r="M1" s="21" t="str">
        <x:v>Q6_Argumente_nuetzlich</x:v>
      </x:c>
      <x:c r="N1" s="21" t="str">
        <x:v>Q7_Vertrauen_in_Ergebnisse</x:v>
      </x:c>
      <x:c r="O1" s="21" t="str">
        <x:v>Q8_Wiederverwendung</x:v>
      </x:c>
      <x:c r="P1" s="21" t="str">
        <x:v>Aufgabenquote</x:v>
      </x:c>
      <x:c r="Q1" s="21" t="str">
        <x:v>UX_Mittelwert</x:v>
      </x:c>
      <x:c r="R1" s="21" t="str">
        <x:v>Bestanden</x:v>
      </x:c>
      <x:c r="S1" s="21" t="str">
        <x:v>Notizen</x:v>
      </x:c>
    </x:row>
    <x:row r="2">
      <x:c r="A2" s="16" t="str">
        <x:v>P1</x:v>
      </x:c>
      <x:c r="B2" s="30" t="n">
        <x:v>46240</x:v>
      </x:c>
      <x:c r="C2" s="28" t="n">
        <x:v>1</x:v>
      </x:c>
      <x:c r="D2" s="28" t="n">
        <x:v>1</x:v>
      </x:c>
      <x:c r="E2" s="28" t="n">
        <x:v>1</x:v>
      </x:c>
      <x:c r="F2" s="28" t="n">
        <x:v>68</x:v>
      </x:c>
      <x:c r="G2" s="28" t="n">
        <x:v>0</x:v>
      </x:c>
      <x:c r="H2" s="28" t="n">
        <x:v>5</x:v>
      </x:c>
      <x:c r="I2" s="28" t="n">
        <x:v>4</x:v>
      </x:c>
      <x:c r="J2" s="28" t="n">
        <x:v>5</x:v>
      </x:c>
      <x:c r="K2" s="28" t="n">
        <x:v>5</x:v>
      </x:c>
      <x:c r="L2" s="28" t="n">
        <x:v>4</x:v>
      </x:c>
      <x:c r="M2" s="28" t="n">
        <x:v>5</x:v>
      </x:c>
      <x:c r="N2" s="28" t="n">
        <x:v>4</x:v>
      </x:c>
      <x:c r="O2" s="28" t="n">
        <x:v>5</x:v>
      </x:c>
      <x:c r="P2" s="32" t="n">
        <x:f>IF(COUNTA(C2:E2)&lt;3,"",SUM(C2:E2)/3)</x:f>
        <x:v>1</x:v>
      </x:c>
      <x:c r="Q2" s="34" t="n">
        <x:f>IF(COUNTA(H2:O2)&lt;8,"",SUM(H2:O2)/8)</x:f>
        <x:v>4.625</x:v>
      </x:c>
      <x:c r="R2" s="16" t="str">
        <x:f>IF(OR(P2="",Q2="",G2=""),"",IF(AND(P2&gt;=0.9,Q2&gt;=4,G2=0),"Pass","Fail"))</x:f>
      </x:c>
      <x:c r="S2" s="28" t="str">
        <x:v>Alle Informationen waren schnell auffindbar; die Handlungsempfehlungen waren eindeutig.</x:v>
      </x:c>
    </x:row>
    <x:row r="3">
      <x:c r="A3" s="16" t="str">
        <x:v>P2</x:v>
      </x:c>
      <x:c r="B3" s="30" t="n">
        <x:v>46240</x:v>
      </x:c>
      <x:c r="C3" s="28" t="n">
        <x:v>1</x:v>
      </x:c>
      <x:c r="D3" s="28" t="n">
        <x:v>1</x:v>
      </x:c>
      <x:c r="E3" s="28" t="n">
        <x:v>1</x:v>
      </x:c>
      <x:c r="F3" s="28" t="n">
        <x:v>74</x:v>
      </x:c>
      <x:c r="G3" s="28" t="n">
        <x:v>0</x:v>
      </x:c>
      <x:c r="H3" s="28" t="n">
        <x:v>4</x:v>
      </x:c>
      <x:c r="I3" s="28" t="n">
        <x:v>4</x:v>
      </x:c>
      <x:c r="J3" s="28" t="n">
        <x:v>5</x:v>
      </x:c>
      <x:c r="K3" s="28" t="n">
        <x:v>4</x:v>
      </x:c>
      <x:c r="L3" s="28" t="n">
        <x:v>4</x:v>
      </x:c>
      <x:c r="M3" s="28" t="n">
        <x:v>4</x:v>
      </x:c>
      <x:c r="N3" s="28" t="n">
        <x:v>4</x:v>
      </x:c>
      <x:c r="O3" s="28" t="n">
        <x:v>5</x:v>
      </x:c>
      <x:c r="P3" s="32" t="n">
        <x:f>IF(COUNTA(C3:E3)&lt;3,"",SUM(C3:E3)/3)</x:f>
        <x:v>1</x:v>
      </x:c>
      <x:c r="Q3" s="34" t="n">
        <x:f>IF(COUNTA(H3:O3)&lt;8,"",SUM(H3:O3)/8)</x:f>
        <x:v>4.25</x:v>
      </x:c>
      <x:c r="R3" s="16" t="str">
        <x:f>IF(OR(P3="",Q3="",G3=""),"",IF(AND(P3&gt;=0.9,Q3&gt;=4,G3=0),"Pass","Fail"))</x:f>
      </x:c>
      <x:c r="S3" s="28" t="str">
        <x:v>Die Navigation war verständlich; eine kurze Erklärung der Kostenberechnung wäre hilfreich.</x:v>
      </x:c>
    </x:row>
    <x:row r="4">
      <x:c r="A4" s="16" t="str">
        <x:v>P3</x:v>
      </x:c>
      <x:c r="B4" s="30" t="n">
        <x:v>46240</x:v>
      </x:c>
      <x:c r="C4" s="28" t="n">
        <x:v>1</x:v>
      </x:c>
      <x:c r="D4" s="28" t="n">
        <x:v>1</x:v>
      </x:c>
      <x:c r="E4" s="28" t="n">
        <x:v>1</x:v>
      </x:c>
      <x:c r="F4" s="28" t="n">
        <x:v>61</x:v>
      </x:c>
      <x:c r="G4" s="28" t="n">
        <x:v>0</x:v>
      </x:c>
      <x:c r="H4" s="28" t="n">
        <x:v>5</x:v>
      </x:c>
      <x:c r="I4" s="28" t="n">
        <x:v>5</x:v>
      </x:c>
      <x:c r="J4" s="28" t="n">
        <x:v>5</x:v>
      </x:c>
      <x:c r="K4" s="28" t="n">
        <x:v>5</x:v>
      </x:c>
      <x:c r="L4" s="28" t="n">
        <x:v>5</x:v>
      </x:c>
      <x:c r="M4" s="28" t="n">
        <x:v>4</x:v>
      </x:c>
      <x:c r="N4" s="28" t="n">
        <x:v>5</x:v>
      </x:c>
      <x:c r="O4" s="28" t="n">
        <x:v>5</x:v>
      </x:c>
      <x:c r="P4" s="32" t="n">
        <x:f>IF(COUNTA(C4:E4)&lt;3,"",SUM(C4:E4)/3)</x:f>
        <x:v>1</x:v>
      </x:c>
      <x:c r="Q4" s="34" t="n">
        <x:f>IF(COUNTA(H4:O4)&lt;8,"",SUM(H4:O4)/8)</x:f>
        <x:v>4.875</x:v>
      </x:c>
      <x:c r="R4" s="16" t="str">
        <x:f>IF(OR(P4="",Q4="",G4=""),"",IF(AND(P4&gt;=0.9,Q4&gt;=4,G4=0),"Pass","Fail"))</x:f>
      </x:c>
      <x:c r="S4" s="28" t="str">
        <x:v>Das Dashboard war übersichtlich und konnte ohne zusätzliche Unterstützung verwendet werden.</x:v>
      </x:c>
    </x:row>
    <x:row r="5">
      <x:c r="A5" s="16" t="str">
        <x:v>P4</x:v>
      </x:c>
      <x:c r="B5" s="30" t="n">
        <x:v>46240</x:v>
      </x:c>
      <x:c r="C5" s="28" t="n">
        <x:v>1</x:v>
      </x:c>
      <x:c r="D5" s="28" t="n">
        <x:v>1</x:v>
      </x:c>
      <x:c r="E5" s="28" t="n">
        <x:v>1</x:v>
      </x:c>
      <x:c r="F5" s="28" t="n">
        <x:v>82</x:v>
      </x:c>
      <x:c r="G5" s="28" t="n">
        <x:v>0</x:v>
      </x:c>
      <x:c r="H5" s="28" t="n">
        <x:v>4</x:v>
      </x:c>
      <x:c r="I5" s="28" t="n">
        <x:v>4</x:v>
      </x:c>
      <x:c r="J5" s="28" t="n">
        <x:v>4</x:v>
      </x:c>
      <x:c r="K5" s="28" t="n">
        <x:v>4</x:v>
      </x:c>
      <x:c r="L5" s="28" t="n">
        <x:v>4</x:v>
      </x:c>
      <x:c r="M5" s="28" t="n">
        <x:v>4</x:v>
      </x:c>
      <x:c r="N5" s="28" t="n">
        <x:v>4</x:v>
      </x:c>
      <x:c r="O5" s="28" t="n">
        <x:v>4</x:v>
      </x:c>
      <x:c r="P5" s="32" t="n">
        <x:f>IF(COUNTA(C5:E5)&lt;3,"",SUM(C5:E5)/3)</x:f>
        <x:v>1</x:v>
      </x:c>
      <x:c r="Q5" s="34" t="n">
        <x:f>IF(COUNTA(H5:O5)&lt;8,"",SUM(H5:O5)/8)</x:f>
        <x:v>4</x:v>
      </x:c>
      <x:c r="R5" s="16" t="str">
        <x:f>IF(OR(P5="",Q5="",G5=""),"",IF(AND(P5&gt;=0.9,Q5&gt;=4,G5=0),"Pass","Fail"))</x:f>
      </x:c>
      <x:c r="S5" s="28" t="str">
        <x:v>Die Aufgaben wurden erfolgreich abgeschlossen; einzelne Fachbegriffe könnten einfacher erklärt werden.</x:v>
      </x:c>
    </x:row>
    <x:row r="6">
      <x:c r="A6" s="16" t="str">
        <x:v>P5</x:v>
      </x:c>
      <x:c r="B6" s="30" t="n">
        <x:v>46240</x:v>
      </x:c>
      <x:c r="C6" s="28" t="n">
        <x:v>1</x:v>
      </x:c>
      <x:c r="D6" s="28" t="n">
        <x:v>1</x:v>
      </x:c>
      <x:c r="E6" s="28" t="n">
        <x:v>1</x:v>
      </x:c>
      <x:c r="F6" s="28" t="n">
        <x:v>66</x:v>
      </x:c>
      <x:c r="G6" s="28" t="n">
        <x:v>0</x:v>
      </x:c>
      <x:c r="H6" s="28" t="n">
        <x:v>5</x:v>
      </x:c>
      <x:c r="I6" s="28" t="n">
        <x:v>4</x:v>
      </x:c>
      <x:c r="J6" s="28" t="n">
        <x:v>5</x:v>
      </x:c>
      <x:c r="K6" s="28" t="n">
        <x:v>5</x:v>
      </x:c>
      <x:c r="L6" s="28" t="n">
        <x:v>5</x:v>
      </x:c>
      <x:c r="M6" s="28" t="n">
        <x:v>5</x:v>
      </x:c>
      <x:c r="N6" s="28" t="n">
        <x:v>4</x:v>
      </x:c>
      <x:c r="O6" s="28" t="n">
        <x:v>5</x:v>
      </x:c>
      <x:c r="P6" s="32" t="n">
        <x:f>IF(COUNTA(C6:E6)&lt;3,"",SUM(C6:E6)/3)</x:f>
        <x:v>1</x:v>
      </x:c>
      <x:c r="Q6" s="34" t="n">
        <x:f>IF(COUNTA(H6:O6)&lt;8,"",SUM(H6:O6)/8)</x:f>
        <x:v>4.75</x:v>
      </x:c>
      <x:c r="R6" s="16" t="str">
        <x:f>IF(OR(P6="",Q6="",G6=""),"",IF(AND(P6&gt;=0.9,Q6&gt;=4,G6=0),"Pass","Fail"))</x:f>
      </x:c>
      <x:c r="S6" s="28" t="str">
        <x:v>Die Risiken, Kostenwerte und nächsten Schritte waren klar dargestellt.</x:v>
      </x:c>
    </x:row>
    <x:row r="8">
      <x:c r="A8" s="48" t="str">
        <x:v>Hinweis: Sämtliche Einträge in diesem Arbeitsblatt sind simulierte Beispieldaten. Für eine finale wissenschaftliche Auswertung müssen sie durch tatsächlich erhobene Nutzertestdaten ersetzt werden.</x:v>
      </x:c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</x:row>
  </x:sheetData>
  <x:mergeCells>
    <x:mergeCell ref="A8:S9"/>
  </x:mergeCells>
  <x:conditionalFormatting sqref="R2:R6">
    <x:cfRule type="expression" dxfId="0" priority="1">
      <x:formula>R2="Pass"</x:formula>
    </x:cfRule>
    <x:cfRule type="expression" dxfId="1" priority="2">
      <x:formula>R2="Fail"</x:formula>
    </x:cfRule>
  </x:conditionalFormatting>
  <x:conditionalFormatting sqref="P2:P6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6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4">
    <x:dataValidation type="list" sqref="C2:E6">
      <x:formula1>"0,1"</x:formula1>
    </x:dataValidation>
    <x:dataValidation operator="between" sqref="F2:F6">
      <x:formula1>1</x:formula1>
      <x:formula2>3600</x:formula2>
    </x:dataValidation>
    <x:dataValidation operator="between" sqref="G2:G6">
      <x:formula1>0</x:formula1>
      <x:formula2>20</x:formula2>
    </x:dataValidation>
    <x:dataValidation type="list" sqref="H2:O6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2" hidden="0" customWidth="1"/>
    <x:col min="4" max="4" width="16" hidden="0" customWidth="1"/>
  </x:cols>
  <x:sheetData>
    <x:row r="1">
      <x:c r="A1" s="5" t="str">
        <x:v>UX-Test – Auswertung</x:v>
      </x:c>
      <x:c r="B1" s="5"/>
      <x:c r="C1" s="5"/>
      <x:c r="D1" s="5"/>
    </x:row>
    <x:row r="3">
      <x:c r="A3" s="21" t="str">
        <x:v>Kennzahl</x:v>
      </x:c>
      <x:c r="B3" s="21" t="str">
        <x:v>Ergebnis</x:v>
      </x:c>
      <x:c r="C3" s="21" t="str">
        <x:v>Zielwert</x:v>
      </x:c>
      <x:c r="D3" s="21" t="str">
        <x:v>Status</x:v>
      </x:c>
    </x:row>
    <x:row r="4">
      <x:c r="A4" s="12" t="str">
        <x:v>Gesamte Aufgabenquote</x:v>
      </x:c>
      <x:c r="B4" s="32" t="n">
        <x:f>SUM('UX-Test'!C2:E6)/15</x:f>
        <x:v>1</x:v>
      </x:c>
      <x:c r="C4" s="16" t="str">
        <x:v>≥ 90 %</x:v>
      </x:c>
      <x:c r="D4" s="16" t="str">
        <x:f>IF(COUNTA('UX-Test'!C2:E6)&lt;15,"",IF(B4&gt;=0.9,"Pass","Fail"))</x:f>
        <x:v>Pass</x:v>
      </x:c>
    </x:row>
    <x:row r="5">
      <x:c r="A5" s="12" t="str">
        <x:v>Durchschnittlicher UX-Wert</x:v>
      </x:c>
      <x:c r="B5" s="34" t="n">
        <x:f>SUM('UX-Test'!H2:O6)/40</x:f>
        <x:v>4.5</x:v>
      </x:c>
      <x:c r="C5" s="16" t="str">
        <x:v>≥ 4,0 / 5</x:v>
      </x:c>
      <x:c r="D5" s="16" t="str">
        <x:f>IF(COUNTA('UX-Test'!H2:O6)&lt;40,"",IF(B5&gt;=4,"Pass","Fail"))</x:f>
        <x:v>Pass</x:v>
      </x:c>
    </x:row>
    <x:row r="6">
      <x:c r="A6" s="12" t="str">
        <x:v>Kritische Fehler gesamt</x:v>
      </x:c>
      <x:c r="B6" s="36" t="n">
        <x:f>SUM('UX-Test'!G2:G6)</x:f>
        <x:v>0</x:v>
      </x:c>
      <x:c r="C6" s="16" t="n">
        <x:f> 0</x:f>
        <x:v>0</x:v>
      </x:c>
      <x:c r="D6" s="16" t="str">
        <x:f>IF(COUNTA('UX-Test'!G2:G6)&lt;5,"",IF(B6=0,"Pass","Fail"))</x:f>
        <x:v>Pass</x:v>
      </x:c>
    </x:row>
    <x:row r="7">
      <x:c r="A7" s="12" t="str">
        <x:v>Durchschnittliche Bearbeitungszeit</x:v>
      </x:c>
      <x:c r="B7" s="38" t="n">
        <x:f>SUM('UX-Test'!F2:F6)/5</x:f>
        <x:v>70.2</x:v>
      </x:c>
      <x:c r="C7" s="16" t="str">
        <x:v>Dokumentation</x:v>
      </x:c>
      <x:c r="D7" s="16" t="str">
        <x:v>Info</x:v>
      </x:c>
    </x:row>
    <x:row r="8">
      <x:c r="A8" s="12" t="str">
        <x:v>Q1 Informationen leicht gefunden</x:v>
      </x:c>
      <x:c r="B8" s="34" t="n">
        <x:f>SUM('UX-Test'!H2:H6)/5</x:f>
        <x:v>4.6</x:v>
      </x:c>
      <x:c r="C8" s="16" t="str">
        <x:v>≥ 4,0</x:v>
      </x:c>
      <x:c r="D8" s="16" t="str">
        <x:f>IF(COUNTA('UX-Test'!H2:H6)&lt;5,"",IF(B8&gt;=4,"Pass","Fail"))</x:f>
        <x:v>Pass</x:v>
      </x:c>
    </x:row>
    <x:row r="9">
      <x:c r="A9" s="12" t="str">
        <x:v>Q3 Entscheidungen klar</x:v>
      </x:c>
      <x:c r="B9" s="34" t="n">
        <x:f>SUM('UX-Test'!J2:J6)/5</x:f>
        <x:v>4.8</x:v>
      </x:c>
      <x:c r="C9" s="16" t="str">
        <x:v>≥ 4,0</x:v>
      </x:c>
      <x:c r="D9" s="16" t="str">
        <x:f>IF(COUNTA('UX-Test'!J2:J6)&lt;5,"",IF(B9&gt;=4,"Pass","Fail"))</x:f>
        <x:v>Pass</x:v>
      </x:c>
    </x:row>
    <x:row r="10">
      <x:c r="A10" s="12" t="str">
        <x:v>Q6 Argumente nützlich</x:v>
      </x:c>
      <x:c r="B10" s="34" t="n">
        <x:f>SUM('UX-Test'!M2:M6)/5</x:f>
        <x:v>4.4</x:v>
      </x:c>
      <x:c r="C10" s="16" t="str">
        <x:v>≥ 4,0</x:v>
      </x:c>
      <x:c r="D10" s="16" t="str">
        <x:f>IF(COUNTA('UX-Test'!M2:M6)&lt;5,"",IF(B10&gt;=4,"Pass","Fail"))</x:f>
        <x:v>Pass</x:v>
      </x:c>
    </x:row>
    <x:row r="11">
      <x:c r="A11" s="12" t="str">
        <x:v>Q8 Wiederverwendung</x:v>
      </x:c>
      <x:c r="B11" s="34" t="n">
        <x:f>SUM('UX-Test'!O2:O6)/5</x:f>
        <x:v>4.8</x:v>
      </x:c>
      <x:c r="C11" s="16" t="str">
        <x:v>≥ 4,0</x:v>
      </x:c>
      <x:c r="D11" s="16" t="str">
        <x:f>IF(COUNTA('UX-Test'!O2:O6)&lt;5,"",IF(B11&gt;=4,"Pass","Fail"))</x:f>
        <x:v>Pass</x:v>
      </x:c>
    </x:row>
    <x:row r="12">
      <x:c r="A12" s="12" t="str">
        <x:v>Gesamtergebnis</x:v>
      </x:c>
      <x:c r="B12" s="16" t="str">
        <x:f>IF(COUNTA('UX-Test'!C2:O6)&lt;65,"Not evaluated",IF(AND(B4&gt;=0.9,B5&gt;=4,B6=0),"Pass","Fail"))</x:f>
        <x:v>Pass</x:v>
      </x:c>
      <x:c r="C12" s="16" t="str">
        <x:v>Pass</x:v>
      </x:c>
      <x:c r="D12" s="16" t="str">
        <x:f>B12</x:f>
        <x:v>Pass</x:v>
      </x:c>
    </x:row>
    <x:row r="14">
      <x:c r="A14" s="43" t="str">
        <x:v>Hinweis: Die dargestellten Kennzahlen basieren auf simulierten Beispieldaten. Sie dienen ausschließlich als Muster für die Testdokumentation und dürfen nicht als tatsächlich erhobene Nutzerergebnisse ausgewiesen werden.</x:v>
      </x:c>
      <x:c r="B14" s="43"/>
      <x:c r="C14" s="43"/>
      <x:c r="D14" s="43"/>
    </x:row>
    <x:row r="15">
      <x:c r="A15" s="43"/>
      <x:c r="B15" s="43"/>
      <x:c r="C15" s="43"/>
      <x:c r="D15" s="43"/>
    </x:row>
  </x:sheetData>
  <x:mergeCells>
    <x:mergeCell ref="A1:D1"/>
    <x:mergeCell ref="A14:D15"/>
  </x:mergeCells>
  <x:conditionalFormatting sqref="D4:D12">
    <x:cfRule type="expression" dxfId="2" priority="1">
      <x:formula>D4="Pass"</x:formula>
    </x:cfRule>
    <x:cfRule type="expression" dxfId="3" priority="2">
      <x:formula>D4="Fail"</x:formula>
    </x:cfRule>
    <x:cfRule type="expression" dxfId="4" priority="3">
      <x:formula>D4="Info"</x:formula>
    </x:cfRule>
  </x:conditionalFormatting>
  <x:pageMargins left="0.7" right="0.7" top="0.75" bottom="0.75" header="0.3" footer="0.3"/>
  <x:drawing xmlns:r="http://schemas.openxmlformats.org/officeDocument/2006/relationships" r:id="R168b80159555475c"/>
</x:worksheet>
</file>