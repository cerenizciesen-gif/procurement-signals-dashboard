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zcic\Downloads\"/>
    </mc:Choice>
  </mc:AlternateContent>
  <xr:revisionPtr revIDLastSave="0" documentId="13_ncr:1_{34A1745C-5E70-4FEF-9BCB-9A332064D4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zess-Test" sheetId="1" r:id="rId1"/>
    <sheet name="Anleitung" sheetId="2" r:id="rId2"/>
    <sheet name="Goldstandard" sheetId="3" r:id="rId3"/>
    <sheet name="Auswertu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B7" i="4"/>
  <c r="C6" i="4"/>
  <c r="B6" i="4"/>
  <c r="C5" i="4"/>
  <c r="B5" i="4"/>
  <c r="C4" i="4"/>
  <c r="B4" i="4"/>
  <c r="C3" i="4"/>
  <c r="B3" i="4"/>
  <c r="C2" i="4"/>
  <c r="B2" i="4"/>
  <c r="C8" i="4" s="1"/>
  <c r="C9" i="4" s="1"/>
  <c r="K11" i="1"/>
  <c r="I11" i="1"/>
  <c r="K10" i="1"/>
  <c r="I10" i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K3" i="1"/>
  <c r="I3" i="1"/>
  <c r="K2" i="1"/>
  <c r="I2" i="1"/>
</calcChain>
</file>

<file path=xl/sharedStrings.xml><?xml version="1.0" encoding="utf-8"?>
<sst xmlns="http://schemas.openxmlformats.org/spreadsheetml/2006/main" count="104" uniqueCount="78">
  <si>
    <t>Teilnehmer</t>
  </si>
  <si>
    <t>Reihenfolge</t>
  </si>
  <si>
    <t>Methode</t>
  </si>
  <si>
    <t>Bearbeitungszeit_s</t>
  </si>
  <si>
    <t>Korrekte_Empfehlungen_0_3</t>
  </si>
  <si>
    <t>Korrekte_Risiken_0_3</t>
  </si>
  <si>
    <t>Korrekte_Kostenwerte_0_3</t>
  </si>
  <si>
    <t>Gesamtfelder</t>
  </si>
  <si>
    <t>Vollständigkeit</t>
  </si>
  <si>
    <t>Entscheidungssicherheit_1_5</t>
  </si>
  <si>
    <t>Bestanden</t>
  </si>
  <si>
    <t>Notizen</t>
  </si>
  <si>
    <t>P1</t>
  </si>
  <si>
    <t>1</t>
  </si>
  <si>
    <t>Manuell</t>
  </si>
  <si>
    <t>Die PA6-Verzögerungskosten wurden falsch berechnet.</t>
  </si>
  <si>
    <t>2</t>
  </si>
  <si>
    <t>Dashboard</t>
  </si>
  <si>
    <t>Alle Informationen konnten schnell gefunden werden.</t>
  </si>
  <si>
    <t>P2</t>
  </si>
  <si>
    <t>Die Darstellung war klar und leicht verständlich.</t>
  </si>
  <si>
    <t>Die Zuordnung der Risiken war schwierig.</t>
  </si>
  <si>
    <t>P3</t>
  </si>
  <si>
    <t>Die Suche in der CSV-Datei dauerte lange.</t>
  </si>
  <si>
    <t>Die Empfehlungen waren leicht nachvollziehbar.</t>
  </si>
  <si>
    <t>P4</t>
  </si>
  <si>
    <t>Die wichtigsten Kennzahlen waren sofort sichtbar.</t>
  </si>
  <si>
    <t>Die Kostenwerte mussten mehrfach kontrolliert werden.</t>
  </si>
  <si>
    <t>P5</t>
  </si>
  <si>
    <t>Das manuelle Zusammenführen der Angaben war zeitaufwendig.</t>
  </si>
  <si>
    <t>Die Aufgabe konnte ohne zusätzliche Hilfe abgeschlossen werden.</t>
  </si>
  <si>
    <t>Prozesswirkungstest – Anleitung</t>
  </si>
  <si>
    <t>Ziel</t>
  </si>
  <si>
    <t>Vergleich der manuellen Auswertung der CSV-Datei mit der Nutzung des Dashboards.</t>
  </si>
  <si>
    <t>Testaufgabe</t>
  </si>
  <si>
    <t>Ermitteln Sie für PP, PA6 und Steel jeweils (1) Handlungsempfehlung, (2) Makrorisiko und (3) Verzögerungskosten.</t>
  </si>
  <si>
    <t>Methode Manuell</t>
  </si>
  <si>
    <t>Nur procurement_baseline.csv verwenden. Dashboard und signals.json dürfen nicht geöffnet werden.</t>
  </si>
  <si>
    <t>Methode Dashboard</t>
  </si>
  <si>
    <t>Nur das veröffentlichte Dashboard verwenden.</t>
  </si>
  <si>
    <t>Zeitmessung</t>
  </si>
  <si>
    <t>Stoppuhr beim Anzeigen der Daten starten und stoppen, sobald alle neun Angaben genannt wurden.</t>
  </si>
  <si>
    <t>Teilnehmende</t>
  </si>
  <si>
    <t>Idealerweise 5 Personen. Mindestens 3 Personen, die den Prototyp nicht selbst entwickelt haben.</t>
  </si>
  <si>
    <t>Zur Verringerung des Lerneffekts wechseln: P1 Manuell→Dashboard, P2 Dashboard→Manuell usw.</t>
  </si>
  <si>
    <t>Bewertung</t>
  </si>
  <si>
    <t>Nach jeder Aufgabe trägt die Testleitung Zeit und Anzahl korrekter Angaben in das Blatt Prozess-Test ein.</t>
  </si>
  <si>
    <t>Nicht ausfüllen</t>
  </si>
  <si>
    <t>Die Spalten Gesamtfelder, Vollständigkeit und Bestanden werden automatisch berechnet.</t>
  </si>
  <si>
    <t>Material</t>
  </si>
  <si>
    <t>Erwartete Empfehlung</t>
  </si>
  <si>
    <t>Erwartetes Makrorisiko</t>
  </si>
  <si>
    <t>Erwartete Verzögerungskosten_EUR</t>
  </si>
  <si>
    <t>PP</t>
  </si>
  <si>
    <t>Buy now</t>
  </si>
  <si>
    <t>Turkey minimum wage increase</t>
  </si>
  <si>
    <t>PA6</t>
  </si>
  <si>
    <t>Red Sea shipping disruption</t>
  </si>
  <si>
    <t>Steel</t>
  </si>
  <si>
    <t>Delay</t>
  </si>
  <si>
    <t>Geopolitical supply disruption</t>
  </si>
  <si>
    <t>Kennzahl</t>
  </si>
  <si>
    <t>Zielwert</t>
  </si>
  <si>
    <t>Durchschnittliche Bearbeitungszeit (Sek.)</t>
  </si>
  <si>
    <t>Dashboard ≥30 % schneller</t>
  </si>
  <si>
    <t>Durchschnittliche Vollständigkeit</t>
  </si>
  <si>
    <t>≥90 %</t>
  </si>
  <si>
    <t>Empfehlungsgenauigkeit</t>
  </si>
  <si>
    <t>Risikogenauigkeit</t>
  </si>
  <si>
    <t>≥80 %</t>
  </si>
  <si>
    <t>Kostengenauigkeit</t>
  </si>
  <si>
    <t>100 %</t>
  </si>
  <si>
    <t>Durchschnittliche Entscheidungssicherheit</t>
  </si>
  <si>
    <t>Dashboard ≥4/5</t>
  </si>
  <si>
    <t>Zeitersparnis Dashboard</t>
  </si>
  <si>
    <t>≥30 %</t>
  </si>
  <si>
    <t>Gesamtergebnis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</si>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</sst>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0.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4" fillId="4" borderId="0" xfId="0" applyFont="1" applyFill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A3" workbookViewId="0">
      <selection activeCell="A13" sqref="A13:XFD13"/>
    </sheetView>
  </sheetViews>
  <sheetFormatPr defaultRowHeight="13.8"/>
  <cols>
    <col min="1" max="2" width="13" customWidth="1"/>
    <col min="3" max="3" width="16" customWidth="1"/>
    <col min="4" max="4" width="22" customWidth="1"/>
    <col min="5" max="7" width="24" customWidth="1"/>
    <col min="8" max="8" width="15" customWidth="1"/>
    <col min="9" max="9" width="18" customWidth="1"/>
    <col min="10" max="10" width="27" customWidth="1"/>
    <col min="11" max="11" width="14" customWidth="1"/>
    <col min="12" max="12" width="38" customWidth="1"/>
  </cols>
  <sheetData>
    <row r="1" spans="1:12" ht="27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27.6">
      <c r="A2" s="2" t="s">
        <v>12</v>
      </c>
      <c r="B2" s="2" t="s">
        <v>13</v>
      </c>
      <c r="C2" s="2" t="s">
        <v>14</v>
      </c>
      <c r="D2" s="2">
        <v>180</v>
      </c>
      <c r="E2" s="2">
        <v>2</v>
      </c>
      <c r="F2" s="2">
        <v>2</v>
      </c>
      <c r="G2" s="2">
        <v>1</v>
      </c>
      <c r="H2" s="2">
        <v>9</v>
      </c>
      <c r="I2" s="6">
        <f t="shared" ref="I2:I11" si="0">IF(COUNTA(D2:G2)&lt;4,"",(E2+F2+G2)/H2)</f>
        <v>0.55555555555555558</v>
      </c>
      <c r="J2" s="2">
        <v>3</v>
      </c>
      <c r="K2" s="2" t="str">
        <f t="shared" ref="K2:K11" si="1">IF(I2="","",IF(AND(I2&gt;=0.9,E2=3),"Pass","Fail"))</f>
        <v>Fail</v>
      </c>
      <c r="L2" s="2" t="s">
        <v>15</v>
      </c>
    </row>
    <row r="3" spans="1:12" ht="27.6">
      <c r="A3" s="2" t="s">
        <v>12</v>
      </c>
      <c r="B3" s="2" t="s">
        <v>16</v>
      </c>
      <c r="C3" s="2" t="s">
        <v>17</v>
      </c>
      <c r="D3" s="2">
        <v>65</v>
      </c>
      <c r="E3" s="2">
        <v>3</v>
      </c>
      <c r="F3" s="2">
        <v>3</v>
      </c>
      <c r="G3" s="2">
        <v>3</v>
      </c>
      <c r="H3" s="2">
        <v>9</v>
      </c>
      <c r="I3" s="6">
        <f t="shared" si="0"/>
        <v>1</v>
      </c>
      <c r="J3" s="2">
        <v>5</v>
      </c>
      <c r="K3" s="2" t="str">
        <f t="shared" si="1"/>
        <v>Pass</v>
      </c>
      <c r="L3" s="2" t="s">
        <v>18</v>
      </c>
    </row>
    <row r="4" spans="1:12" ht="27.6">
      <c r="A4" s="2" t="s">
        <v>19</v>
      </c>
      <c r="B4" s="2" t="s">
        <v>13</v>
      </c>
      <c r="C4" s="2" t="s">
        <v>17</v>
      </c>
      <c r="D4" s="2">
        <v>55</v>
      </c>
      <c r="E4" s="2">
        <v>3</v>
      </c>
      <c r="F4" s="2">
        <v>3</v>
      </c>
      <c r="G4" s="2">
        <v>3</v>
      </c>
      <c r="H4" s="2">
        <v>9</v>
      </c>
      <c r="I4" s="6">
        <f t="shared" si="0"/>
        <v>1</v>
      </c>
      <c r="J4" s="2">
        <v>5</v>
      </c>
      <c r="K4" s="2" t="str">
        <f t="shared" si="1"/>
        <v>Pass</v>
      </c>
      <c r="L4" s="2" t="s">
        <v>20</v>
      </c>
    </row>
    <row r="5" spans="1:12">
      <c r="A5" s="2" t="s">
        <v>19</v>
      </c>
      <c r="B5" s="2" t="s">
        <v>16</v>
      </c>
      <c r="C5" s="2" t="s">
        <v>14</v>
      </c>
      <c r="D5" s="2">
        <v>165</v>
      </c>
      <c r="E5" s="2">
        <v>3</v>
      </c>
      <c r="F5" s="2">
        <v>2</v>
      </c>
      <c r="G5" s="2">
        <v>2</v>
      </c>
      <c r="H5" s="2">
        <v>9</v>
      </c>
      <c r="I5" s="6">
        <f t="shared" si="0"/>
        <v>0.77777777777777779</v>
      </c>
      <c r="J5" s="2">
        <v>3</v>
      </c>
      <c r="K5" s="2" t="str">
        <f t="shared" si="1"/>
        <v>Fail</v>
      </c>
      <c r="L5" s="2" t="s">
        <v>21</v>
      </c>
    </row>
    <row r="6" spans="1:12">
      <c r="A6" s="2" t="s">
        <v>22</v>
      </c>
      <c r="B6" s="2" t="s">
        <v>13</v>
      </c>
      <c r="C6" s="2" t="s">
        <v>14</v>
      </c>
      <c r="D6" s="2">
        <v>210</v>
      </c>
      <c r="E6" s="2">
        <v>2</v>
      </c>
      <c r="F6" s="2">
        <v>1</v>
      </c>
      <c r="G6" s="2">
        <v>2</v>
      </c>
      <c r="H6" s="2">
        <v>9</v>
      </c>
      <c r="I6" s="6">
        <f t="shared" si="0"/>
        <v>0.55555555555555558</v>
      </c>
      <c r="J6" s="2">
        <v>2</v>
      </c>
      <c r="K6" s="2" t="str">
        <f t="shared" si="1"/>
        <v>Fail</v>
      </c>
      <c r="L6" s="2" t="s">
        <v>23</v>
      </c>
    </row>
    <row r="7" spans="1:12" ht="27.6">
      <c r="A7" s="2" t="s">
        <v>22</v>
      </c>
      <c r="B7" s="2" t="s">
        <v>16</v>
      </c>
      <c r="C7" s="2" t="s">
        <v>17</v>
      </c>
      <c r="D7" s="2">
        <v>70</v>
      </c>
      <c r="E7" s="2">
        <v>3</v>
      </c>
      <c r="F7" s="2">
        <v>3</v>
      </c>
      <c r="G7" s="2">
        <v>3</v>
      </c>
      <c r="H7" s="2">
        <v>9</v>
      </c>
      <c r="I7" s="6">
        <f t="shared" si="0"/>
        <v>1</v>
      </c>
      <c r="J7" s="2">
        <v>4</v>
      </c>
      <c r="K7" s="2" t="str">
        <f t="shared" si="1"/>
        <v>Pass</v>
      </c>
      <c r="L7" s="2" t="s">
        <v>24</v>
      </c>
    </row>
    <row r="8" spans="1:12" ht="27.6">
      <c r="A8" s="2" t="s">
        <v>25</v>
      </c>
      <c r="B8" s="2" t="s">
        <v>13</v>
      </c>
      <c r="C8" s="2" t="s">
        <v>17</v>
      </c>
      <c r="D8" s="2">
        <v>60</v>
      </c>
      <c r="E8" s="2">
        <v>3</v>
      </c>
      <c r="F8" s="2">
        <v>3</v>
      </c>
      <c r="G8" s="2">
        <v>3</v>
      </c>
      <c r="H8" s="2">
        <v>9</v>
      </c>
      <c r="I8" s="6">
        <f t="shared" si="0"/>
        <v>1</v>
      </c>
      <c r="J8" s="2">
        <v>5</v>
      </c>
      <c r="K8" s="2" t="str">
        <f t="shared" si="1"/>
        <v>Pass</v>
      </c>
      <c r="L8" s="2" t="s">
        <v>26</v>
      </c>
    </row>
    <row r="9" spans="1:12" ht="27.6">
      <c r="A9" s="2" t="s">
        <v>25</v>
      </c>
      <c r="B9" s="2" t="s">
        <v>16</v>
      </c>
      <c r="C9" s="2" t="s">
        <v>14</v>
      </c>
      <c r="D9" s="2">
        <v>195</v>
      </c>
      <c r="E9" s="2">
        <v>2</v>
      </c>
      <c r="F9" s="2">
        <v>2</v>
      </c>
      <c r="G9" s="2">
        <v>1</v>
      </c>
      <c r="H9" s="2">
        <v>9</v>
      </c>
      <c r="I9" s="6">
        <f t="shared" si="0"/>
        <v>0.55555555555555558</v>
      </c>
      <c r="J9" s="2">
        <v>2</v>
      </c>
      <c r="K9" s="2" t="str">
        <f t="shared" si="1"/>
        <v>Fail</v>
      </c>
      <c r="L9" s="2" t="s">
        <v>27</v>
      </c>
    </row>
    <row r="10" spans="1:12" ht="27.6">
      <c r="A10" s="2" t="s">
        <v>28</v>
      </c>
      <c r="B10" s="2" t="s">
        <v>13</v>
      </c>
      <c r="C10" s="2" t="s">
        <v>14</v>
      </c>
      <c r="D10" s="2">
        <v>175</v>
      </c>
      <c r="E10" s="2">
        <v>3</v>
      </c>
      <c r="F10" s="2">
        <v>2</v>
      </c>
      <c r="G10" s="2">
        <v>2</v>
      </c>
      <c r="H10" s="2">
        <v>9</v>
      </c>
      <c r="I10" s="6">
        <f t="shared" si="0"/>
        <v>0.77777777777777779</v>
      </c>
      <c r="J10" s="2">
        <v>3</v>
      </c>
      <c r="K10" s="2" t="str">
        <f t="shared" si="1"/>
        <v>Fail</v>
      </c>
      <c r="L10" s="2" t="s">
        <v>29</v>
      </c>
    </row>
    <row r="11" spans="1:12" ht="27.6">
      <c r="A11" s="2" t="s">
        <v>28</v>
      </c>
      <c r="B11" s="2" t="s">
        <v>16</v>
      </c>
      <c r="C11" s="2" t="s">
        <v>17</v>
      </c>
      <c r="D11" s="2">
        <v>62</v>
      </c>
      <c r="E11" s="2">
        <v>3</v>
      </c>
      <c r="F11" s="2">
        <v>3</v>
      </c>
      <c r="G11" s="2">
        <v>3</v>
      </c>
      <c r="H11" s="2">
        <v>9</v>
      </c>
      <c r="I11" s="6">
        <f t="shared" si="0"/>
        <v>1</v>
      </c>
      <c r="J11" s="2">
        <v>5</v>
      </c>
      <c r="K11" s="2" t="str">
        <f t="shared" si="1"/>
        <v>Pass</v>
      </c>
      <c r="L11" s="2" t="s">
        <v>30</v>
      </c>
    </row>
    <row r="13" spans="1:12" ht="27.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1">
    <mergeCell ref="A13:L13"/>
  </mergeCells>
  <conditionalFormatting sqref="I2:I1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11">
    <cfRule type="expression" dxfId="3" priority="1">
      <formula>K2="Pass"</formula>
    </cfRule>
    <cfRule type="expression" dxfId="2" priority="2">
      <formula>K2="Fail"</formula>
    </cfRule>
  </conditionalFormatting>
  <dataValidations count="3">
    <dataValidation sqref="D2:D11" xr:uid="{00000000-0002-0000-0000-000000000000}">
      <formula1>1</formula1>
      <formula2>3600</formula2>
    </dataValidation>
    <dataValidation sqref="E2:G11" xr:uid="{00000000-0002-0000-0000-000001000000}">
      <formula1>0</formula1>
      <formula2>3</formula2>
    </dataValidation>
    <dataValidation sqref="J2:J11" xr:uid="{00000000-0002-0000-0000-000004000000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"/>
    </sheetView>
  </sheetViews>
  <sheetFormatPr defaultRowHeight="13.8"/>
  <cols>
    <col min="1" max="1" width="24" customWidth="1"/>
    <col min="2" max="2" width="85" customWidth="1"/>
  </cols>
  <sheetData>
    <row r="1" spans="1:2" ht="17.399999999999999">
      <c r="A1" s="11" t="s">
        <v>31</v>
      </c>
      <c r="B1" s="11"/>
    </row>
    <row r="2" spans="1:2">
      <c r="A2" s="1" t="s">
        <v>32</v>
      </c>
      <c r="B2" s="2" t="s">
        <v>33</v>
      </c>
    </row>
    <row r="3" spans="1:2" ht="27.6">
      <c r="A3" s="1" t="s">
        <v>34</v>
      </c>
      <c r="B3" s="2" t="s">
        <v>35</v>
      </c>
    </row>
    <row r="4" spans="1:2">
      <c r="A4" s="1" t="s">
        <v>36</v>
      </c>
      <c r="B4" s="2" t="s">
        <v>37</v>
      </c>
    </row>
    <row r="5" spans="1:2">
      <c r="A5" s="1" t="s">
        <v>38</v>
      </c>
      <c r="B5" s="2" t="s">
        <v>39</v>
      </c>
    </row>
    <row r="6" spans="1:2">
      <c r="A6" s="1" t="s">
        <v>40</v>
      </c>
      <c r="B6" s="2" t="s">
        <v>41</v>
      </c>
    </row>
    <row r="7" spans="1:2">
      <c r="A7" s="1" t="s">
        <v>42</v>
      </c>
      <c r="B7" s="2" t="s">
        <v>43</v>
      </c>
    </row>
    <row r="8" spans="1:2">
      <c r="A8" s="1" t="s">
        <v>1</v>
      </c>
      <c r="B8" s="2" t="s">
        <v>44</v>
      </c>
    </row>
    <row r="9" spans="1:2" ht="27.6">
      <c r="A9" s="1" t="s">
        <v>45</v>
      </c>
      <c r="B9" s="2" t="s">
        <v>46</v>
      </c>
    </row>
    <row r="10" spans="1:2">
      <c r="A10" s="1" t="s">
        <v>47</v>
      </c>
      <c r="B10" s="2" t="s">
        <v>48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3.8"/>
  <cols>
    <col min="1" max="1" width="14" customWidth="1"/>
    <col min="2" max="2" width="24" customWidth="1"/>
    <col min="3" max="3" width="38" customWidth="1"/>
    <col min="4" max="4" width="30" customWidth="1"/>
  </cols>
  <sheetData>
    <row r="1" spans="1:4" ht="27.6">
      <c r="A1" s="3" t="s">
        <v>49</v>
      </c>
      <c r="B1" s="3" t="s">
        <v>50</v>
      </c>
      <c r="C1" s="3" t="s">
        <v>51</v>
      </c>
      <c r="D1" s="3" t="s">
        <v>52</v>
      </c>
    </row>
    <row r="2" spans="1:4">
      <c r="A2" s="2" t="s">
        <v>53</v>
      </c>
      <c r="B2" s="2" t="s">
        <v>54</v>
      </c>
      <c r="C2" s="2" t="s">
        <v>55</v>
      </c>
      <c r="D2" s="4">
        <v>49599.76</v>
      </c>
    </row>
    <row r="3" spans="1:4">
      <c r="A3" s="2" t="s">
        <v>56</v>
      </c>
      <c r="B3" s="2" t="s">
        <v>54</v>
      </c>
      <c r="C3" s="2" t="s">
        <v>57</v>
      </c>
      <c r="D3" s="4">
        <v>-178060.52</v>
      </c>
    </row>
    <row r="4" spans="1:4">
      <c r="A4" s="2" t="s">
        <v>58</v>
      </c>
      <c r="B4" s="2" t="s">
        <v>59</v>
      </c>
      <c r="C4" s="2" t="s">
        <v>60</v>
      </c>
      <c r="D4" s="4">
        <v>246229.8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B20" sqref="B20"/>
    </sheetView>
  </sheetViews>
  <sheetFormatPr defaultRowHeight="13.8"/>
  <cols>
    <col min="1" max="1" width="42" customWidth="1"/>
    <col min="2" max="3" width="18" customWidth="1"/>
    <col min="4" max="4" width="28" customWidth="1"/>
  </cols>
  <sheetData>
    <row r="1" spans="1:4">
      <c r="A1" s="3" t="s">
        <v>61</v>
      </c>
      <c r="B1" s="3" t="s">
        <v>14</v>
      </c>
      <c r="C1" s="3" t="s">
        <v>17</v>
      </c>
      <c r="D1" s="3" t="s">
        <v>62</v>
      </c>
    </row>
    <row r="2" spans="1:4">
      <c r="A2" s="2" t="s">
        <v>63</v>
      </c>
      <c r="B2" s="7">
        <f>IFERROR(SUMIF('Prozess-Test'!C2:C11,"Manuell",'Prozess-Test'!D2:D11)/COUNTIF('Prozess-Test'!C2:C11,"Manuell"),"")</f>
        <v>185</v>
      </c>
      <c r="C2" s="7">
        <f>IFERROR(SUMIF('Prozess-Test'!C2:C11,"Dashboard",'Prozess-Test'!D2:D11)/COUNTIF('Prozess-Test'!C2:C11,"Dashboard"),"")</f>
        <v>62.4</v>
      </c>
      <c r="D2" s="2" t="s">
        <v>64</v>
      </c>
    </row>
    <row r="3" spans="1:4">
      <c r="A3" s="2" t="s">
        <v>65</v>
      </c>
      <c r="B3" s="6">
        <f>IFERROR(SUMIF('Prozess-Test'!C2:C11,"Manuell",'Prozess-Test'!I2:I11)/COUNTIF('Prozess-Test'!C2:C11,"Manuell"),"")</f>
        <v>0.64444444444444449</v>
      </c>
      <c r="C3" s="6">
        <f>IFERROR(SUMIF('Prozess-Test'!C2:C11,"Dashboard",'Prozess-Test'!I2:I11)/COUNTIF('Prozess-Test'!C2:C11,"Dashboard"),"")</f>
        <v>1</v>
      </c>
      <c r="D3" s="2" t="s">
        <v>66</v>
      </c>
    </row>
    <row r="4" spans="1:4">
      <c r="A4" s="2" t="s">
        <v>67</v>
      </c>
      <c r="B4" s="6">
        <f>IFERROR(SUMIF('Prozess-Test'!C2:C11,"Manuell",'Prozess-Test'!E2:E11)/(COUNTIF('Prozess-Test'!C2:C11,"Manuell")*3),"")</f>
        <v>0.8</v>
      </c>
      <c r="C4" s="6">
        <f>IFERROR(SUMIF('Prozess-Test'!C2:C11,"Dashboard",'Prozess-Test'!E2:E11)/(COUNTIF('Prozess-Test'!C2:C11,"Dashboard")*3),"")</f>
        <v>1</v>
      </c>
      <c r="D4" s="2" t="s">
        <v>66</v>
      </c>
    </row>
    <row r="5" spans="1:4">
      <c r="A5" s="2" t="s">
        <v>68</v>
      </c>
      <c r="B5" s="6">
        <f>IFERROR(SUMIF('Prozess-Test'!C2:C11,"Manuell",'Prozess-Test'!F2:F11)/(COUNTIF('Prozess-Test'!C2:C11,"Manuell")*3),"")</f>
        <v>0.6</v>
      </c>
      <c r="C5" s="6">
        <f>IFERROR(SUMIF('Prozess-Test'!C2:C11,"Dashboard",'Prozess-Test'!F2:F11)/(COUNTIF('Prozess-Test'!C2:C11,"Dashboard")*3),"")</f>
        <v>1</v>
      </c>
      <c r="D5" s="2" t="s">
        <v>69</v>
      </c>
    </row>
    <row r="6" spans="1:4">
      <c r="A6" s="2" t="s">
        <v>70</v>
      </c>
      <c r="B6" s="6">
        <f>IFERROR(SUMIF('Prozess-Test'!C2:C11,"Manuell",'Prozess-Test'!G2:G11)/(COUNTIF('Prozess-Test'!C2:C11,"Manuell")*3),"")</f>
        <v>0.53333333333333333</v>
      </c>
      <c r="C6" s="6">
        <f>IFERROR(SUMIF('Prozess-Test'!C2:C11,"Dashboard",'Prozess-Test'!G2:G11)/(COUNTIF('Prozess-Test'!C2:C11,"Dashboard")*3),"")</f>
        <v>1</v>
      </c>
      <c r="D6" s="2" t="s">
        <v>71</v>
      </c>
    </row>
    <row r="7" spans="1:4">
      <c r="A7" s="2" t="s">
        <v>72</v>
      </c>
      <c r="B7" s="8">
        <f>IFERROR(SUMIF('Prozess-Test'!C2:C11,"Manuell",'Prozess-Test'!J2:J11)/COUNTIF('Prozess-Test'!C2:C11,"Manuell"),"")</f>
        <v>2.6</v>
      </c>
      <c r="C7" s="8">
        <f>IFERROR(SUMIF('Prozess-Test'!C2:C11,"Dashboard",'Prozess-Test'!J2:J11)/COUNTIF('Prozess-Test'!C2:C11,"Dashboard"),"")</f>
        <v>4.8</v>
      </c>
      <c r="D7" s="2" t="s">
        <v>73</v>
      </c>
    </row>
    <row r="8" spans="1:4">
      <c r="A8" s="2" t="s">
        <v>74</v>
      </c>
      <c r="B8" s="2"/>
      <c r="C8" s="6">
        <f>IF(OR(B2="",C2=""),"",(B2-C2)/B2)</f>
        <v>0.66270270270270271</v>
      </c>
      <c r="D8" s="2" t="s">
        <v>75</v>
      </c>
    </row>
    <row r="9" spans="1:4">
      <c r="A9" s="2" t="s">
        <v>76</v>
      </c>
      <c r="B9" s="2"/>
      <c r="C9" s="2" t="str">
        <f>IF(COUNTA('Prozess-Test'!D2:D11)&lt;10,"Not evaluated",IF(AND(C8&gt;=0.3,C3&gt;=0.9,C4&gt;=0.9,C6=1,C7&gt;=4),"Pass","Fail"))</f>
        <v>Pass</v>
      </c>
      <c r="D9" s="2" t="s">
        <v>77</v>
      </c>
    </row>
  </sheetData>
  <conditionalFormatting sqref="C9">
    <cfRule type="expression" dxfId="1" priority="1">
      <formula>C9="Pass"</formula>
    </cfRule>
    <cfRule type="expression" dxfId="0" priority="2">
      <formula>C9="Fail"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Prozess-Test</vt:lpstr>
      <vt:lpstr>Anleitung</vt:lpstr>
      <vt:lpstr>Goldstandard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CEREN İZCİ</cp:lastModifiedBy>
  <dcterms:modified xsi:type="dcterms:W3CDTF">2026-08-06T18:38:05Z</dcterms:modified>
</cp:coreProperties>
</file>